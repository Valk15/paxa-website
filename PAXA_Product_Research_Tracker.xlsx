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earch Log" sheetId="1" state="visible" r:id="rId3"/>
    <sheet name="Dashboard" sheetId="2" state="visible" r:id="rId4"/>
    <sheet name="Financial Calculator" sheetId="3" state="visible" r:id="rId5"/>
  </sheets>
  <definedNames>
    <definedName function="false" hidden="true" localSheetId="0" name="_xlnm._FilterDatabase" vbProcedure="false">'Research Log'!$A$2:$V$2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<sst xmlns="http://schemas.openxmlformats.org/spreadsheetml/2006/main" count="241" uniqueCount="155">
  <si>
    <t xml:space="preserve">PAXA — Product Research Tracker</t>
  </si>
  <si>
    <t xml:space="preserve">Date</t>
  </si>
  <si>
    <t xml:space="preserve">Product Name</t>
  </si>
  <si>
    <t xml:space="preserve">URL</t>
  </si>
  <si>
    <t xml:space="preserve">Platform</t>
  </si>
  <si>
    <t xml:space="preserve">Target Market</t>
  </si>
  <si>
    <t xml:space="preserve">Sell Price ($)</t>
  </si>
  <si>
    <t xml:space="preserve">COGS ($)</t>
  </si>
  <si>
    <t xml:space="preserve">Shipping ($)</t>
  </si>
  <si>
    <t xml:space="preserve">Gross Margin %</t>
  </si>
  <si>
    <t xml:space="preserve">BE ROAS</t>
  </si>
  <si>
    <t xml:space="preserve">Est Net Margin</t>
  </si>
  <si>
    <t xml:space="preserve">VERDICT</t>
  </si>
  <si>
    <t xml:space="preserve">P1 Problem Clarity</t>
  </si>
  <si>
    <t xml:space="preserve">P2 Visual Before/After</t>
  </si>
  <si>
    <t xml:space="preserve">P3 Marketing Angles</t>
  </si>
  <si>
    <t xml:space="preserve">P4 Trend Timing</t>
  </si>
  <si>
    <t xml:space="preserve">P5 Brand Competition</t>
  </si>
  <si>
    <t xml:space="preserve">P6 Organic Content</t>
  </si>
  <si>
    <t xml:space="preserve">Angle 1</t>
  </si>
  <si>
    <t xml:space="preserve">Angle 2</t>
  </si>
  <si>
    <t xml:space="preserve">Angle 3</t>
  </si>
  <si>
    <t xml:space="preserve">Notes / Risks</t>
  </si>
  <si>
    <t xml:space="preserve">2026-04-06</t>
  </si>
  <si>
    <t xml:space="preserve">Portable Neck Massager</t>
  </si>
  <si>
    <t xml:space="preserve">https://aliexpress.com/item/123</t>
  </si>
  <si>
    <t xml:space="preserve">AliExpress</t>
  </si>
  <si>
    <t xml:space="preserve">UK</t>
  </si>
  <si>
    <t xml:space="preserve">PASS</t>
  </si>
  <si>
    <t xml:space="preserve">WARN</t>
  </si>
  <si>
    <t xml:space="preserve">Your neck is destroying your focus — fix it in 15 mins</t>
  </si>
  <si>
    <t xml:space="preserve">Why office workers are buying this instead of physio</t>
  </si>
  <si>
    <t xml:space="preserve">The £8 gadget that replaces £60 physio sessions</t>
  </si>
  <si>
    <t xml:space="preserve">Check CE certification for UK market</t>
  </si>
  <si>
    <t xml:space="preserve">LED Eyelash Curler</t>
  </si>
  <si>
    <t xml:space="preserve">https://tiktokshop.com/item/456</t>
  </si>
  <si>
    <t xml:space="preserve">TikTok Shop</t>
  </si>
  <si>
    <t xml:space="preserve">REVIEW</t>
  </si>
  <si>
    <t xml:space="preserve">FAIL</t>
  </si>
  <si>
    <t xml:space="preserve">The tool makeup artists don't want you to know about</t>
  </si>
  <si>
    <t xml:space="preserve">Market saturating — 40+ stores running ads</t>
  </si>
  <si>
    <t xml:space="preserve">2026-04-07</t>
  </si>
  <si>
    <t xml:space="preserve">Dog Calming Spray</t>
  </si>
  <si>
    <t xml:space="preserve">https://shopify-store.com/product/789</t>
  </si>
  <si>
    <t xml:space="preserve">Shopify</t>
  </si>
  <si>
    <t xml:space="preserve">Dominated by Adaptil brand — no differentiation angle</t>
  </si>
  <si>
    <t xml:space="preserve">2026-04-10</t>
  </si>
  <si>
    <t xml:space="preserve">Snuffle Mat (Enrichment)</t>
  </si>
  <si>
    <t xml:space="preserve">https://amazon.co.uk/s?k=snuffle+mat+dog</t>
  </si>
  <si>
    <t xml:space="preserve">Amazon UK</t>
  </si>
  <si>
    <t xml:space="preserve">Your dog's nose needs to work before you leave — sniffing depletes cortisol</t>
  </si>
  <si>
    <t xml:space="preserve">The 10-minute pre-departure ritual that changes your dog's stress response</t>
  </si>
  <si>
    <t xml:space="preserve">DISCARD — P5 FAIL. Amazon saturated: 500+ sellers, top listings 4k+ reviews. No differentiation angle available. UK market spread thin on margin.</t>
  </si>
  <si>
    <t xml:space="preserve">Premium Lick Mat (Suction Cup Silicone) — Single Unit</t>
  </si>
  <si>
    <t xml:space="preserve">https://www.aliexpress.com/wholesale?SearchText=dog+lick+mat+suction+silicone</t>
  </si>
  <si>
    <t xml:space="preserve">The tool that defuses your dog's departure panic before it starts</t>
  </si>
  <si>
    <t xml:space="preserve">Most owners leave toys when they go out — this is the only one that actually rewires anxiety</t>
  </si>
  <si>
    <t xml:space="preserve">Why licking is the single most powerful counter-conditioning trigger your dog has</t>
  </si>
  <si>
    <t xml:space="preserve">UPDATED WITH REAL NUMBERS (April 2026). Supplier confirmed: 140 units @ £2.50/unit. Shipping: Royal Mail Tracked 48 @ £3.65. 3PL: Bezos.ai or Airbox (pick/pack £1.85/order, storage £0.15/unit/mo). TOTAL COST PER ORDER: £7.65 (COGS £2.50 + ship £3.65 + pick/pack £1.85). GROSS MARGIN: 60% — BELOW 65% target. Single unit not viable for paid ads. SOLUTION: Launch as bundle (2x mats for £35) — margin jumps to 70%. See row below. Meta CPA benchmark: £8-12. TikTok CPA benchmark: £6-9. 3PL rec: Bezos.ai or Airbox. Shipping rec: Royal Mail Tracked 48.</t>
  </si>
  <si>
    <t xml:space="preserve">2026-04-12</t>
  </si>
  <si>
    <t xml:space="preserve">PAXA Lick Mat BUNDLE (2x for £35)</t>
  </si>
  <si>
    <t xml:space="preserve">Shipping 2 mats costs the same as 1 — margin jumps from 60% to 70%</t>
  </si>
  <si>
    <t xml:space="preserve">At £35 bundle, max CPA is £24.50 — Meta's £8-12 CPA becomes comfortable</t>
  </si>
  <si>
    <t xml:space="preserve">TikTok Shop creator affiliate at 15-20% = £5.25-7 commission — still profitable</t>
  </si>
  <si>
    <t xml:space="preserve">PRIORITY LAUNCH FORMAT. Bundle mechanics: 2x lick mats for £35 (single = £20, bundle saves £5). COGS: £5.00 (2x £2.50). Ship + fulfilment: £5.50 (same weight class as single). GROSS MARGIN: 70% — above 65% target. BE ROAS: 1.43x. Meta CPA headroom: £24.50 max vs £8-12 benchmark = £12-16 profit per sale. TikTok Shop: 15-20% creator commission = £5.25-7 cost — still leaves £17-19 margin. Recommendation: Launch bundle as primary offer. Single unit as entry/upsell.</t>
  </si>
  <si>
    <t xml:space="preserve">Interactive Puzzle Feeder (Level 2)</t>
  </si>
  <si>
    <t xml:space="preserve">https://www.aliexpress.com/wholesale?SearchText=dog+puzzle+feeder+interactive+level+2</t>
  </si>
  <si>
    <t xml:space="preserve">A mentally depleted dog cannot sustain separation anxiety — this is the science</t>
  </si>
  <si>
    <t xml:space="preserve">Feed your dog's brain before you leave — 10 minutes of this equals a 45-minute walk</t>
  </si>
  <si>
    <t xml:space="preserve">REVIEW — P3 + P4 WARNs. 135 Amazon competitors (Nina Ottosson, KONG dominant). Gross margin 66.7% at £27. Differentiation angle possible via PAXA protocol framing (pre-departure cognitive depletion) but crowded content space. Proceed only if lick mat sourcing fails.</t>
  </si>
  <si>
    <t xml:space="preserve">Dog Bolster Calming Bed (Safe Space)</t>
  </si>
  <si>
    <t xml:space="preserve">https://www.aliexpress.com/wholesale?SearchText=dog+calming+donut+bed+bolster</t>
  </si>
  <si>
    <t xml:space="preserve">Your dog doesn't have a safe place — that's why they can't self-regulate</t>
  </si>
  <si>
    <t xml:space="preserve">Foundation Phase of every separation anxiety protocol starts here</t>
  </si>
  <si>
    <t xml:space="preserve">REVIEW — Brand conflict risk: PAXA positions against "symptom masking" products. Calming bed is a symptom product. Only viable if positioned as PROTOCOL TOOL for Phase 1 foundation (safe place training). Gross margin 57.1% at £35 — BELOW 65% target. Raise to £40: margin 62.5% still WARN. Financial barrier. Deprioritise.</t>
  </si>
  <si>
    <t xml:space="preserve">PAXA — Product Research Dashboard</t>
  </si>
  <si>
    <t xml:space="preserve">Total Analysed</t>
  </si>
  <si>
    <t xml:space="preserve">Financial Averages</t>
  </si>
  <si>
    <t xml:space="preserve">Avg Gross Margin</t>
  </si>
  <si>
    <t xml:space="preserve">Avg Break-Even ROAS</t>
  </si>
  <si>
    <t xml:space="preserve">Avg Net Margin</t>
  </si>
  <si>
    <t xml:space="preserve">Pass Rate</t>
  </si>
  <si>
    <t xml:space="preserve">Recent Research (last 5)</t>
  </si>
  <si>
    <t xml:space="preserve">Product</t>
  </si>
  <si>
    <t xml:space="preserve">Price</t>
  </si>
  <si>
    <t xml:space="preserve">Gross Margin</t>
  </si>
  <si>
    <t xml:space="preserve">Verdict</t>
  </si>
  <si>
    <t xml:space="preserve">PAXA Lick Mat — Financial Calculator (Updated April 2026)</t>
  </si>
  <si>
    <t xml:space="preserve">INPUTS</t>
  </si>
  <si>
    <t xml:space="preserve">Value</t>
  </si>
  <si>
    <t xml:space="preserve">OUTPUTS</t>
  </si>
  <si>
    <t xml:space="preserve">Result</t>
  </si>
  <si>
    <t xml:space="preserve">Selling Price £ (single unit)</t>
  </si>
  <si>
    <t xml:space="preserve">Gross Profit ($)</t>
  </si>
  <si>
    <t xml:space="preserve">Product COGS £ (confirmed supplier)</t>
  </si>
  <si>
    <t xml:space="preserve">Shipping + Pick/Pack £ (RM Tracked 48 + 3PL)</t>
  </si>
  <si>
    <t xml:space="preserve">Break-Even ROAS</t>
  </si>
  <si>
    <t xml:space="preserve">Returns Buffer (% of revenue)</t>
  </si>
  <si>
    <t xml:space="preserve">Net Profit (est.)</t>
  </si>
  <si>
    <t xml:space="preserve">Payment Fees (% of revenue)</t>
  </si>
  <si>
    <t xml:space="preserve">Net Margin %</t>
  </si>
  <si>
    <t xml:space="preserve">Ad Spend Estimate ($)</t>
  </si>
  <si>
    <t xml:space="preserve">Target ROAS (20% net)</t>
  </si>
  <si>
    <t xml:space="preserve">BENCHMARKS</t>
  </si>
  <si>
    <t xml:space="preserve">≥ 65%</t>
  </si>
  <si>
    <t xml:space="preserve">Good margin for paid ads</t>
  </si>
  <si>
    <t xml:space="preserve">≤ 2.0x</t>
  </si>
  <si>
    <t xml:space="preserve">Profitable at reasonable ad efficiency</t>
  </si>
  <si>
    <t xml:space="preserve">Net Margin</t>
  </si>
  <si>
    <t xml:space="preserve">15–25%</t>
  </si>
  <si>
    <t xml:space="preserve">Sustainable growth range</t>
  </si>
  <si>
    <t xml:space="preserve">Markup on COGS</t>
  </si>
  <si>
    <t xml:space="preserve">≥ 3x</t>
  </si>
  <si>
    <t xml:space="preserve">Minimum for ads + returns buffer</t>
  </si>
  <si>
    <t xml:space="preserve">── BUNDLE SCENARIO (2x Mats for £35) ──</t>
  </si>
  <si>
    <t xml:space="preserve">BUNDLE INPUTS</t>
  </si>
  <si>
    <t xml:space="preserve">BUNDLE OUTPUTS</t>
  </si>
  <si>
    <t xml:space="preserve">Bundle Price £</t>
  </si>
  <si>
    <t xml:space="preserve">Gross Profit £</t>
  </si>
  <si>
    <t xml:space="preserve">Bundle COGS £ (2x £2.50)</t>
  </si>
  <si>
    <t xml:space="preserve">Shipping + Pick/Pack £ (same as single)</t>
  </si>
  <si>
    <t xml:space="preserve">Max CPA (break-even) £</t>
  </si>
  <si>
    <t xml:space="preserve">Net Margin % (no ads)</t>
  </si>
  <si>
    <t xml:space="preserve">── UK AD BENCHMARKS (Gemini Research, April 2026) ──</t>
  </si>
  <si>
    <t xml:space="preserve">Metric</t>
  </si>
  <si>
    <t xml:space="preserve">TikTok Shop / Ads</t>
  </si>
  <si>
    <t xml:space="preserve">Meta (FB+IG)</t>
  </si>
  <si>
    <t xml:space="preserve">Viable at £35 Bundle?</t>
  </si>
  <si>
    <t xml:space="preserve">CPM (UK pet niche)</t>
  </si>
  <si>
    <t xml:space="preserve">£8 – £10</t>
  </si>
  <si>
    <t xml:space="preserve">£10 – £15</t>
  </si>
  <si>
    <t xml:space="preserve">—</t>
  </si>
  <si>
    <t xml:space="preserve">CPC</t>
  </si>
  <si>
    <t xml:space="preserve">£0.60 – £0.90</t>
  </si>
  <si>
    <t xml:space="preserve">£0.80 – £1.20</t>
  </si>
  <si>
    <t xml:space="preserve">Conversion Rate</t>
  </si>
  <si>
    <t xml:space="preserve">1.5% – 3.0%</t>
  </si>
  <si>
    <t xml:space="preserve">2.0% – 4.0%</t>
  </si>
  <si>
    <t xml:space="preserve">Est. CPA</t>
  </si>
  <si>
    <t xml:space="preserve">£6 – £9</t>
  </si>
  <si>
    <t xml:space="preserve">£8 – £12</t>
  </si>
  <si>
    <t xml:space="preserve">Yes — max CPA is £24.50</t>
  </si>
  <si>
    <t xml:space="preserve">Min. Daily Budget</t>
  </si>
  <si>
    <t xml:space="preserve">£20/day</t>
  </si>
  <si>
    <t xml:space="preserve">£10/ad set</t>
  </si>
  <si>
    <t xml:space="preserve">ROAS Weeks 1–3</t>
  </si>
  <si>
    <t xml:space="preserve">1.5x – 2.2x</t>
  </si>
  <si>
    <t xml:space="preserve">BE ROAS is 1.43x ✓</t>
  </si>
  <si>
    <t xml:space="preserve">TikTok Creator Commission</t>
  </si>
  <si>
    <t xml:space="preserve">15–20% = £5.25–7</t>
  </si>
  <si>
    <t xml:space="preserve">Yes — still profitable</t>
  </si>
  <si>
    <t xml:space="preserve">Profit per sale at avg CPA</t>
  </si>
  <si>
    <t xml:space="preserve">£15.50 – £18.50</t>
  </si>
  <si>
    <t xml:space="preserve">£12.50 – £16.50</t>
  </si>
  <si>
    <t xml:space="preserve">✓ Healthy at bundle price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</si>
</sst>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%"/>
    <numFmt numFmtId="167" formatCode="0.00\x"/>
    <numFmt numFmtId="168" formatCode="0%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9C0006"/>
      <name val="Cambria"/>
      <family val="0"/>
      <charset val="1"/>
    </font>
    <font>
      <sz val="11"/>
      <color rgb="FF276221"/>
      <name val="Cambria"/>
      <family val="0"/>
      <charset val="1"/>
    </font>
    <font>
      <sz val="11"/>
      <color rgb="FF9C6500"/>
      <name val="Cambria"/>
      <family val="0"/>
      <charset val="1"/>
    </font>
    <font>
      <sz val="11"/>
      <color rgb="FF9C0006"/>
      <name val="Cambria"/>
      <family val="0"/>
      <charset val="1"/>
    </font>
    <font>
      <b val="true"/>
      <sz val="11"/>
      <color rgb="FF9C6500"/>
      <name val="Cambria"/>
      <family val="0"/>
      <charset val="1"/>
    </font>
    <font>
      <b val="true"/>
      <sz val="11"/>
      <color rgb="FF276221"/>
      <name val="Cambria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22"/>
      <color rgb="FF000000"/>
      <name val="Arial"/>
      <family val="0"/>
      <charset val="1"/>
    </font>
    <font>
      <b val="true"/>
      <sz val="22"/>
      <color rgb="FF1B5E20"/>
      <name val="Arial"/>
      <family val="0"/>
      <charset val="1"/>
    </font>
    <font>
      <b val="true"/>
      <sz val="22"/>
      <color rgb="FFE65100"/>
      <name val="Arial"/>
      <family val="0"/>
      <charset val="1"/>
    </font>
    <font>
      <b val="true"/>
      <sz val="22"/>
      <color rgb="FFB71C1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9E9E9E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3"/>
      <name val="Cambria"/>
      <family val="0"/>
      <charset val="1"/>
    </font>
    <font>
      <b val="true"/>
      <sz val="10"/>
      <color rgb="FF0D47A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2E7D32"/>
      <name val="Arial"/>
      <family val="0"/>
      <charset val="1"/>
    </font>
    <font>
      <i val="true"/>
      <sz val="8"/>
      <color rgb="FF9E9E9E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000000"/>
        <bgColor rgb="FF212121"/>
      </patternFill>
    </fill>
    <fill>
      <patternFill patternType="solid">
        <fgColor rgb="FFE0E0E0"/>
        <bgColor rgb="FFD9E1F2"/>
      </patternFill>
    </fill>
    <fill>
      <patternFill patternType="solid">
        <fgColor rgb="FF1565C0"/>
        <bgColor rgb="FF0D47A1"/>
      </patternFill>
    </fill>
    <fill>
      <patternFill patternType="solid">
        <fgColor rgb="FF212121"/>
        <bgColor rgb="FF2E4057"/>
      </patternFill>
    </fill>
    <fill>
      <patternFill patternType="solid">
        <fgColor rgb="FF2E7D32"/>
        <bgColor rgb="FF276221"/>
      </patternFill>
    </fill>
    <fill>
      <patternFill patternType="solid">
        <fgColor rgb="FF4A148C"/>
        <bgColor rgb="FF800080"/>
      </patternFill>
    </fill>
    <fill>
      <patternFill patternType="solid">
        <fgColor rgb="FF37474F"/>
        <bgColor rgb="FF2E4057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FFC7CE"/>
        <bgColor rgb="FFE0E0E0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3E0"/>
      </patternFill>
    </fill>
    <fill>
      <patternFill patternType="solid">
        <fgColor rgb="FFE8F5E9"/>
        <bgColor rgb="FFE3F2FD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  <fill>
      <patternFill patternType="solid">
        <fgColor rgb="FF0D47A1"/>
        <bgColor rgb="FF1565C0"/>
      </patternFill>
    </fill>
    <fill>
      <patternFill patternType="solid">
        <fgColor rgb="FF546E7A"/>
        <bgColor rgb="FF808080"/>
      </patternFill>
    </fill>
    <fill>
      <patternFill patternType="solid">
        <fgColor rgb="FFE3F2FD"/>
        <bgColor rgb="FFE8F5E9"/>
      </patternFill>
    </fill>
    <fill>
      <patternFill patternType="solid">
        <fgColor rgb="FF2E4057"/>
        <bgColor rgb="FF37474F"/>
      </patternFill>
    </fill>
    <fill>
      <patternFill patternType="solid">
        <fgColor rgb="FFD9E1F2"/>
        <bgColor rgb="FFE0E0E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90CAF9"/>
      </left>
      <right style="thin">
        <color rgb="FF90CAF9"/>
      </right>
      <top style="thin">
        <color rgb="FF90CAF9"/>
      </top>
      <bottom style="thin">
        <color rgb="FF90CAF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7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E0E0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212121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4A148C"/>
          <bgColor rgb="FF000000"/>
        </patternFill>
      </fill>
    </dxf>
    <dxf>
      <fill>
        <patternFill patternType="solid">
          <fgColor rgb="FF37474F"/>
          <bgColor rgb="FF000000"/>
        </patternFill>
      </fill>
    </dxf>
    <dxf>
      <font>
        <name val="Arial"/>
        <charset val="1"/>
        <family val="0"/>
        <b val="1"/>
        <color rgb="FF1B5E20"/>
        <sz val="9"/>
      </font>
      <fill>
        <patternFill>
          <bgColor rgb="FFE8F5E9"/>
        </patternFill>
      </fill>
    </dxf>
    <dxf>
      <font>
        <name val="Arial"/>
        <charset val="1"/>
        <family val="0"/>
        <b val="1"/>
        <color rgb="FFE65100"/>
        <sz val="9"/>
      </font>
      <fill>
        <patternFill>
          <bgColor rgb="FFFFF3E0"/>
        </patternFill>
      </fill>
    </dxf>
    <dxf>
      <font>
        <name val="Arial"/>
        <charset val="1"/>
        <family val="0"/>
        <b val="1"/>
        <color rgb="FFB71C1C"/>
        <sz val="9"/>
      </font>
      <fill>
        <patternFill>
          <bgColor rgb="FFFFEBEE"/>
        </patternFill>
      </fill>
    </dxf>
    <dxf>
      <font>
        <name val="Arial"/>
        <charset val="1"/>
        <family val="0"/>
        <color rgb="FF1B5E20"/>
        <sz val="9"/>
      </font>
      <fill>
        <patternFill>
          <bgColor rgb="FFE8F5E9"/>
        </patternFill>
      </fill>
    </dxf>
    <dxf>
      <font>
        <name val="Arial"/>
        <charset val="1"/>
        <family val="0"/>
        <color rgb="FFE65100"/>
        <sz val="9"/>
      </font>
      <fill>
        <patternFill>
          <bgColor rgb="FFFFF3E0"/>
        </patternFill>
      </fill>
    </dxf>
    <dxf>
      <font>
        <name val="Arial"/>
        <charset val="1"/>
        <family val="0"/>
        <color rgb="FFB71C1C"/>
        <sz val="9"/>
      </font>
      <fill>
        <patternFill>
          <bgColor rgb="FFFFEBEE"/>
        </patternFill>
      </fill>
    </dxf>
    <dxf>
      <font>
        <name val="Arial"/>
        <charset val="1"/>
        <family val="0"/>
        <b val="1"/>
        <color rgb="FF1B5E20"/>
        <sz val="8"/>
      </font>
      <fill>
        <patternFill>
          <bgColor rgb="FFE8F5E9"/>
        </patternFill>
      </fill>
    </dxf>
    <dxf>
      <font>
        <name val="Arial"/>
        <charset val="1"/>
        <family val="0"/>
        <b val="1"/>
        <color rgb="FFE65100"/>
        <sz val="8"/>
      </font>
      <fill>
        <patternFill>
          <bgColor rgb="FFFFF3E0"/>
        </patternFill>
      </fill>
    </dxf>
    <dxf>
      <font>
        <name val="Arial"/>
        <charset val="1"/>
        <family val="0"/>
        <b val="1"/>
        <color rgb="FFB71C1C"/>
        <sz val="8"/>
      </font>
      <fill>
        <patternFill>
          <bgColor rgb="FFFFEBEE"/>
        </patternFill>
      </fill>
    </dxf>
    <dxf>
      <font>
        <name val="Arial"/>
        <charset val="1"/>
        <family val="0"/>
        <b val="1"/>
        <color rgb="FF1B5E20"/>
        <sz val="10"/>
      </font>
      <fill>
        <patternFill>
          <bgColor rgb="FFE8F5E9"/>
        </patternFill>
      </fill>
    </dxf>
    <dxf>
      <font>
        <name val="Arial"/>
        <charset val="1"/>
        <family val="0"/>
        <b val="1"/>
        <color rgb="FFB71C1C"/>
        <sz val="10"/>
      </font>
      <fill>
        <patternFill>
          <bgColor rgb="FFFFEBEE"/>
        </patternFill>
      </fill>
    </dxf>
    <dxf>
      <font>
        <name val="Arial"/>
        <charset val="1"/>
        <family val="0"/>
        <b val="1"/>
        <color rgb="FFE65100"/>
        <sz val="10"/>
      </font>
      <fill>
        <patternFill>
          <bgColor rgb="FFFFF3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B5E20"/>
      <rgbColor rgb="FF000080"/>
      <rgbColor rgb="FF9C6500"/>
      <rgbColor rgb="FF800080"/>
      <rgbColor rgb="FF008080"/>
      <rgbColor rgb="FFE0E0E0"/>
      <rgbColor rgb="FF808080"/>
      <rgbColor rgb="FF9999FF"/>
      <rgbColor rgb="FF993366"/>
      <rgbColor rgb="FFFFF3E0"/>
      <rgbColor rgb="FFE3F2FD"/>
      <rgbColor rgb="FF4A148C"/>
      <rgbColor rgb="FFFF8080"/>
      <rgbColor rgb="FF1565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6EFCE"/>
      <rgbColor rgb="FFFFEB9C"/>
      <rgbColor rgb="FF90CAF9"/>
      <rgbColor rgb="FFFFEBEE"/>
      <rgbColor rgb="FFF5F5F5"/>
      <rgbColor rgb="FFFFC7CE"/>
      <rgbColor rgb="FF3366FF"/>
      <rgbColor rgb="FF33CCCC"/>
      <rgbColor rgb="FF99CC00"/>
      <rgbColor rgb="FFFFCC00"/>
      <rgbColor rgb="FFFF9900"/>
      <rgbColor rgb="FFE65100"/>
      <rgbColor rgb="FF546E7A"/>
      <rgbColor rgb="FF9E9E9E"/>
      <rgbColor rgb="FF0D47A1"/>
      <rgbColor rgb="FF2E7D32"/>
      <rgbColor rgb="FF276221"/>
      <rgbColor rgb="FF212121"/>
      <rgbColor rgb="FFB71C1C"/>
      <rgbColor rgb="FF993366"/>
      <rgbColor rgb="FF37474F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6"/>
  <sheetViews>
    <sheetView showFormulas="false" showGridLines="fals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2" topLeftCell="A3" activePane="bottomLeft" state="frozen"/>
      <selection pane="topLeft" activeCell="B1" activeCellId="0" sqref="B1"/>
      <selection pane="bottomLeft" activeCell="F7" activeCellId="0" sqref="F7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5" min="13" style="0" width="16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false" outlineLevel="0" max="18" min="18" style="0" width="15"/>
    <col collapsed="false" customWidth="true" hidden="false" outlineLevel="0" max="21" min="19" style="0" width="22"/>
    <col collapsed="false" customWidth="true" hidden="false" outlineLevel="0" max="22" min="22" style="0" width="37.91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6" t="s">
        <v>19</v>
      </c>
      <c r="T2" s="6" t="s">
        <v>20</v>
      </c>
      <c r="U2" s="6" t="s">
        <v>21</v>
      </c>
      <c r="V2" s="7" t="s">
        <v>22</v>
      </c>
    </row>
    <row r="3" customFormat="false" ht="30" hidden="false" customHeight="true" outlineLevel="0" collapsed="false">
      <c r="A3" s="8" t="s">
        <v>23</v>
      </c>
      <c r="B3" s="9" t="s">
        <v>24</v>
      </c>
      <c r="C3" s="9" t="s">
        <v>25</v>
      </c>
      <c r="D3" s="8" t="s">
        <v>26</v>
      </c>
      <c r="E3" s="8" t="s">
        <v>27</v>
      </c>
      <c r="F3" s="10" t="n">
        <v>39</v>
      </c>
      <c r="G3" s="10" t="n">
        <v>8</v>
      </c>
      <c r="H3" s="10" t="n">
        <v>4</v>
      </c>
      <c r="I3" s="11" t="n">
        <f aca="false">(F3-G3-H3)/F3</f>
        <v>0.692307692307692</v>
      </c>
      <c r="J3" s="12" t="n">
        <f aca="false">F3/(F3-G3-H3)</f>
        <v>1.44444444444444</v>
      </c>
      <c r="K3" s="11" t="n">
        <f aca="false">(F3-G3-H3)*0.82/F3</f>
        <v>0.567692307692308</v>
      </c>
      <c r="L3" s="8" t="s">
        <v>28</v>
      </c>
      <c r="M3" s="8" t="s">
        <v>28</v>
      </c>
      <c r="N3" s="8" t="s">
        <v>28</v>
      </c>
      <c r="O3" s="8" t="s">
        <v>28</v>
      </c>
      <c r="P3" s="8" t="s">
        <v>29</v>
      </c>
      <c r="Q3" s="8" t="s">
        <v>28</v>
      </c>
      <c r="R3" s="8" t="s">
        <v>28</v>
      </c>
      <c r="S3" s="9" t="s">
        <v>30</v>
      </c>
      <c r="T3" s="9" t="s">
        <v>31</v>
      </c>
      <c r="U3" s="9" t="s">
        <v>32</v>
      </c>
      <c r="V3" s="9" t="s">
        <v>33</v>
      </c>
    </row>
    <row r="4" customFormat="false" ht="30" hidden="false" customHeight="true" outlineLevel="0" collapsed="false">
      <c r="A4" s="13" t="s">
        <v>23</v>
      </c>
      <c r="B4" s="14" t="s">
        <v>34</v>
      </c>
      <c r="C4" s="14" t="s">
        <v>35</v>
      </c>
      <c r="D4" s="13" t="s">
        <v>36</v>
      </c>
      <c r="E4" s="13" t="s">
        <v>27</v>
      </c>
      <c r="F4" s="15" t="n">
        <v>24</v>
      </c>
      <c r="G4" s="15" t="n">
        <v>5</v>
      </c>
      <c r="H4" s="15" t="n">
        <v>3</v>
      </c>
      <c r="I4" s="16" t="n">
        <f aca="false">(F4-G4-H4)/F4</f>
        <v>0.666666666666667</v>
      </c>
      <c r="J4" s="17" t="n">
        <f aca="false">F4/(F4-G4-H4)</f>
        <v>1.5</v>
      </c>
      <c r="K4" s="16" t="n">
        <f aca="false">(F4-G4-H4)*0.82/F4</f>
        <v>0.546666666666667</v>
      </c>
      <c r="L4" s="13" t="s">
        <v>37</v>
      </c>
      <c r="M4" s="13" t="s">
        <v>28</v>
      </c>
      <c r="N4" s="13" t="s">
        <v>38</v>
      </c>
      <c r="O4" s="13" t="s">
        <v>29</v>
      </c>
      <c r="P4" s="13" t="s">
        <v>28</v>
      </c>
      <c r="Q4" s="13" t="s">
        <v>38</v>
      </c>
      <c r="R4" s="13" t="s">
        <v>29</v>
      </c>
      <c r="S4" s="14" t="s">
        <v>39</v>
      </c>
      <c r="T4" s="14"/>
      <c r="U4" s="14"/>
      <c r="V4" s="14" t="s">
        <v>40</v>
      </c>
    </row>
    <row r="5" customFormat="false" ht="30" hidden="false" customHeight="true" outlineLevel="0" collapsed="false">
      <c r="A5" s="8" t="s">
        <v>41</v>
      </c>
      <c r="B5" s="9" t="s">
        <v>42</v>
      </c>
      <c r="C5" s="9" t="s">
        <v>43</v>
      </c>
      <c r="D5" s="8" t="s">
        <v>44</v>
      </c>
      <c r="E5" s="8" t="s">
        <v>27</v>
      </c>
      <c r="F5" s="10" t="n">
        <v>29</v>
      </c>
      <c r="G5" s="10" t="n">
        <v>6</v>
      </c>
      <c r="H5" s="10" t="n">
        <v>3.5</v>
      </c>
      <c r="I5" s="11" t="n">
        <f aca="false">(F5-G5-H5)/F5</f>
        <v>0.672413793103448</v>
      </c>
      <c r="J5" s="12" t="n">
        <f aca="false">F5/(F5-G5-H5)</f>
        <v>1.48717948717949</v>
      </c>
      <c r="K5" s="11" t="n">
        <f aca="false">(F5-G5-H5)*0.82/F5</f>
        <v>0.551379310344828</v>
      </c>
      <c r="L5" s="8" t="s">
        <v>38</v>
      </c>
      <c r="M5" s="8" t="s">
        <v>28</v>
      </c>
      <c r="N5" s="8" t="s">
        <v>29</v>
      </c>
      <c r="O5" s="8" t="s">
        <v>38</v>
      </c>
      <c r="P5" s="8" t="s">
        <v>38</v>
      </c>
      <c r="Q5" s="8" t="s">
        <v>28</v>
      </c>
      <c r="R5" s="8" t="s">
        <v>29</v>
      </c>
      <c r="S5" s="9"/>
      <c r="T5" s="9"/>
      <c r="U5" s="9"/>
      <c r="V5" s="9" t="s">
        <v>45</v>
      </c>
    </row>
    <row r="6" customFormat="false" ht="27.75" hidden="false" customHeight="true" outlineLevel="0" collapsed="false">
      <c r="A6" s="8" t="s">
        <v>46</v>
      </c>
      <c r="B6" s="9" t="s">
        <v>47</v>
      </c>
      <c r="C6" s="9" t="s">
        <v>48</v>
      </c>
      <c r="D6" s="8" t="s">
        <v>49</v>
      </c>
      <c r="E6" s="8" t="s">
        <v>27</v>
      </c>
      <c r="F6" s="8" t="n">
        <v>18</v>
      </c>
      <c r="G6" s="8" t="n">
        <v>4</v>
      </c>
      <c r="H6" s="8" t="n">
        <v>4</v>
      </c>
      <c r="I6" s="11" t="n">
        <f aca="false">(F6-G6-H6)/F6</f>
        <v>0.555555555555556</v>
      </c>
      <c r="J6" s="12" t="n">
        <f aca="false">F6/(F6-G6-H6)</f>
        <v>1.8</v>
      </c>
      <c r="K6" s="11" t="n">
        <f aca="false">(F6-G6-H6)*0.82/F6</f>
        <v>0.455555555555556</v>
      </c>
      <c r="L6" s="18" t="s">
        <v>38</v>
      </c>
      <c r="M6" s="19" t="s">
        <v>28</v>
      </c>
      <c r="N6" s="19" t="s">
        <v>28</v>
      </c>
      <c r="O6" s="20" t="s">
        <v>29</v>
      </c>
      <c r="P6" s="20" t="s">
        <v>29</v>
      </c>
      <c r="Q6" s="21" t="s">
        <v>38</v>
      </c>
      <c r="R6" s="20" t="s">
        <v>29</v>
      </c>
      <c r="S6" s="9" t="s">
        <v>50</v>
      </c>
      <c r="T6" s="9" t="s">
        <v>51</v>
      </c>
      <c r="U6" s="9"/>
      <c r="V6" s="9" t="s">
        <v>52</v>
      </c>
    </row>
    <row r="7" customFormat="false" ht="27.75" hidden="false" customHeight="true" outlineLevel="0" collapsed="false">
      <c r="A7" s="13" t="s">
        <v>46</v>
      </c>
      <c r="B7" s="14" t="s">
        <v>53</v>
      </c>
      <c r="C7" s="14" t="s">
        <v>54</v>
      </c>
      <c r="D7" s="13" t="s">
        <v>26</v>
      </c>
      <c r="E7" s="13" t="s">
        <v>27</v>
      </c>
      <c r="F7" s="13" t="n">
        <v>20</v>
      </c>
      <c r="G7" s="13" t="n">
        <v>2.5</v>
      </c>
      <c r="H7" s="13" t="n">
        <v>5.5</v>
      </c>
      <c r="I7" s="16" t="n">
        <f aca="false">(F7-G7-H7)/F7</f>
        <v>0.6</v>
      </c>
      <c r="J7" s="17" t="n">
        <f aca="false">F7/(F7-G7-H7)</f>
        <v>1.66666666666667</v>
      </c>
      <c r="K7" s="16" t="n">
        <f aca="false">(F7-G7-H7)*0.82/F7</f>
        <v>0.492</v>
      </c>
      <c r="L7" s="22" t="s">
        <v>29</v>
      </c>
      <c r="M7" s="19" t="s">
        <v>28</v>
      </c>
      <c r="N7" s="19" t="s">
        <v>28</v>
      </c>
      <c r="O7" s="19" t="s">
        <v>28</v>
      </c>
      <c r="P7" s="19" t="s">
        <v>28</v>
      </c>
      <c r="Q7" s="20" t="s">
        <v>29</v>
      </c>
      <c r="R7" s="19" t="s">
        <v>28</v>
      </c>
      <c r="S7" s="14" t="s">
        <v>55</v>
      </c>
      <c r="T7" s="14" t="s">
        <v>56</v>
      </c>
      <c r="U7" s="14" t="s">
        <v>57</v>
      </c>
      <c r="V7" s="14" t="s">
        <v>58</v>
      </c>
    </row>
    <row r="8" customFormat="false" ht="27.75" hidden="false" customHeight="true" outlineLevel="0" collapsed="false">
      <c r="A8" s="0" t="s">
        <v>59</v>
      </c>
      <c r="B8" s="0" t="s">
        <v>60</v>
      </c>
      <c r="C8" s="0" t="s">
        <v>54</v>
      </c>
      <c r="D8" s="0" t="s">
        <v>26</v>
      </c>
      <c r="E8" s="0" t="s">
        <v>27</v>
      </c>
      <c r="F8" s="0" t="n">
        <v>35</v>
      </c>
      <c r="G8" s="0" t="n">
        <v>5</v>
      </c>
      <c r="H8" s="0" t="n">
        <v>5.5</v>
      </c>
      <c r="I8" s="0" t="n">
        <f aca="false">(F8-G8-H8)/F8</f>
        <v>0.7</v>
      </c>
      <c r="J8" s="0" t="n">
        <f aca="false">F8/(F8-G8-H8)</f>
        <v>1.42857142857143</v>
      </c>
      <c r="K8" s="0" t="n">
        <f aca="false">(F8-G8-H8)*0.82/F8</f>
        <v>0.574</v>
      </c>
      <c r="L8" s="23" t="s">
        <v>28</v>
      </c>
      <c r="M8" s="24" t="s">
        <v>28</v>
      </c>
      <c r="N8" s="24" t="s">
        <v>28</v>
      </c>
      <c r="O8" s="24" t="s">
        <v>28</v>
      </c>
      <c r="P8" s="24" t="s">
        <v>28</v>
      </c>
      <c r="Q8" s="25" t="s">
        <v>29</v>
      </c>
      <c r="R8" s="24" t="s">
        <v>28</v>
      </c>
      <c r="S8" s="0" t="s">
        <v>61</v>
      </c>
      <c r="T8" s="0" t="s">
        <v>62</v>
      </c>
      <c r="U8" s="0" t="s">
        <v>63</v>
      </c>
      <c r="V8" s="0" t="s">
        <v>64</v>
      </c>
    </row>
    <row r="9" customFormat="false" ht="27.75" hidden="false" customHeight="true" outlineLevel="0" collapsed="false">
      <c r="A9" s="8" t="s">
        <v>46</v>
      </c>
      <c r="B9" s="9" t="s">
        <v>65</v>
      </c>
      <c r="C9" s="9" t="s">
        <v>66</v>
      </c>
      <c r="D9" s="8" t="s">
        <v>26</v>
      </c>
      <c r="E9" s="8" t="s">
        <v>27</v>
      </c>
      <c r="F9" s="8" t="n">
        <v>27</v>
      </c>
      <c r="G9" s="8" t="n">
        <v>5</v>
      </c>
      <c r="H9" s="8" t="n">
        <v>4</v>
      </c>
      <c r="I9" s="11" t="n">
        <f aca="false">(F8-G8-H8)/F8</f>
        <v>0.7</v>
      </c>
      <c r="J9" s="12" t="n">
        <f aca="false">F8/(F8-G8-H8)</f>
        <v>1.42857142857143</v>
      </c>
      <c r="K9" s="11" t="n">
        <f aca="false">(F8-G8-H8)*0.82/F8</f>
        <v>0.574</v>
      </c>
      <c r="L9" s="22" t="s">
        <v>37</v>
      </c>
      <c r="M9" s="19" t="s">
        <v>28</v>
      </c>
      <c r="N9" s="19" t="s">
        <v>28</v>
      </c>
      <c r="O9" s="20" t="s">
        <v>29</v>
      </c>
      <c r="P9" s="20" t="s">
        <v>29</v>
      </c>
      <c r="Q9" s="20" t="s">
        <v>29</v>
      </c>
      <c r="R9" s="19" t="s">
        <v>28</v>
      </c>
      <c r="S9" s="9" t="s">
        <v>67</v>
      </c>
      <c r="T9" s="9" t="s">
        <v>68</v>
      </c>
      <c r="U9" s="9"/>
      <c r="V9" s="9" t="s">
        <v>69</v>
      </c>
    </row>
    <row r="10" customFormat="false" ht="27.75" hidden="false" customHeight="true" outlineLevel="0" collapsed="false">
      <c r="A10" s="13" t="s">
        <v>46</v>
      </c>
      <c r="B10" s="14" t="s">
        <v>70</v>
      </c>
      <c r="C10" s="14" t="s">
        <v>71</v>
      </c>
      <c r="D10" s="13" t="s">
        <v>26</v>
      </c>
      <c r="E10" s="13" t="s">
        <v>27</v>
      </c>
      <c r="F10" s="13" t="n">
        <v>35</v>
      </c>
      <c r="G10" s="13" t="n">
        <v>9</v>
      </c>
      <c r="H10" s="13" t="n">
        <v>6</v>
      </c>
      <c r="I10" s="16" t="n">
        <f aca="false">(F9-G9-H9)/F9</f>
        <v>0.666666666666667</v>
      </c>
      <c r="J10" s="17" t="n">
        <f aca="false">F9/(F9-G9-H9)</f>
        <v>1.5</v>
      </c>
      <c r="K10" s="16" t="n">
        <f aca="false">(F9-G9-H9)*0.82/F9</f>
        <v>0.546666666666667</v>
      </c>
      <c r="L10" s="22" t="s">
        <v>37</v>
      </c>
      <c r="M10" s="20" t="s">
        <v>29</v>
      </c>
      <c r="N10" s="19" t="s">
        <v>28</v>
      </c>
      <c r="O10" s="20" t="s">
        <v>29</v>
      </c>
      <c r="P10" s="19" t="s">
        <v>28</v>
      </c>
      <c r="Q10" s="20" t="s">
        <v>29</v>
      </c>
      <c r="R10" s="19" t="s">
        <v>28</v>
      </c>
      <c r="S10" s="14" t="s">
        <v>72</v>
      </c>
      <c r="T10" s="14" t="s">
        <v>73</v>
      </c>
      <c r="U10" s="14"/>
      <c r="V10" s="14" t="s">
        <v>74</v>
      </c>
    </row>
    <row r="11" customFormat="false" ht="27.75" hidden="false" customHeight="true" outlineLevel="0" collapsed="false">
      <c r="A11" s="8"/>
      <c r="B11" s="9"/>
      <c r="C11" s="9"/>
      <c r="D11" s="8"/>
      <c r="E11" s="8"/>
      <c r="F11" s="8"/>
      <c r="G11" s="8"/>
      <c r="H11" s="8"/>
      <c r="I11" s="11" t="n">
        <f aca="false">IF(F10&gt;0,(F10-G10-H10)/F10,"")</f>
        <v>0.571428571428571</v>
      </c>
      <c r="J11" s="12" t="n">
        <f aca="false">IF(F10&gt;0,F10/(F10-G10-H10),"")</f>
        <v>1.75</v>
      </c>
      <c r="K11" s="11" t="n">
        <f aca="false">IF(F10&gt;0,(F10-G10-H10)*0.82/F10,"")</f>
        <v>0.468571428571429</v>
      </c>
      <c r="L11" s="8"/>
      <c r="M11" s="8"/>
      <c r="N11" s="8"/>
      <c r="O11" s="8"/>
      <c r="P11" s="8"/>
      <c r="Q11" s="8"/>
      <c r="R11" s="8"/>
      <c r="S11" s="9"/>
      <c r="T11" s="9"/>
      <c r="U11" s="9"/>
      <c r="V11" s="9"/>
    </row>
    <row r="12" customFormat="false" ht="27.75" hidden="false" customHeight="true" outlineLevel="0" collapsed="false">
      <c r="A12" s="13"/>
      <c r="B12" s="14"/>
      <c r="C12" s="14"/>
      <c r="D12" s="13"/>
      <c r="E12" s="13"/>
      <c r="F12" s="13"/>
      <c r="G12" s="13"/>
      <c r="H12" s="13"/>
      <c r="I12" s="16" t="str">
        <f aca="false">IF(F11&gt;0,(F11-G11-H11)/F11,"")</f>
        <v/>
      </c>
      <c r="J12" s="17" t="str">
        <f aca="false">IF(F11&gt;0,F11/(F11-G11-H11),"")</f>
        <v/>
      </c>
      <c r="K12" s="16" t="str">
        <f aca="false">IF(F11&gt;0,(F11-G11-H11)*0.82/F11,"")</f>
        <v/>
      </c>
      <c r="L12" s="13"/>
      <c r="M12" s="13"/>
      <c r="N12" s="13"/>
      <c r="O12" s="13"/>
      <c r="P12" s="13"/>
      <c r="Q12" s="13"/>
      <c r="R12" s="13"/>
      <c r="S12" s="14"/>
      <c r="T12" s="14"/>
      <c r="U12" s="14"/>
      <c r="V12" s="14"/>
    </row>
    <row r="13" customFormat="false" ht="27.75" hidden="false" customHeight="true" outlineLevel="0" collapsed="false">
      <c r="A13" s="8"/>
      <c r="B13" s="9"/>
      <c r="C13" s="9"/>
      <c r="D13" s="8"/>
      <c r="E13" s="8"/>
      <c r="F13" s="8"/>
      <c r="G13" s="8"/>
      <c r="H13" s="8"/>
      <c r="I13" s="11" t="str">
        <f aca="false">IF(F12&gt;0,(F12-G12-H12)/F12,"")</f>
        <v/>
      </c>
      <c r="J13" s="12" t="str">
        <f aca="false">IF(F12&gt;0,F12/(F12-G12-H12),"")</f>
        <v/>
      </c>
      <c r="K13" s="11" t="str">
        <f aca="false">IF(F12&gt;0,(F12-G12-H12)*0.82/F12,"")</f>
        <v/>
      </c>
      <c r="L13" s="8"/>
      <c r="M13" s="8"/>
      <c r="N13" s="8"/>
      <c r="O13" s="8"/>
      <c r="P13" s="8"/>
      <c r="Q13" s="8"/>
      <c r="R13" s="8"/>
      <c r="S13" s="9"/>
      <c r="T13" s="9"/>
      <c r="U13" s="9"/>
      <c r="V13" s="9"/>
    </row>
    <row r="14" customFormat="false" ht="27.75" hidden="false" customHeight="true" outlineLevel="0" collapsed="false">
      <c r="A14" s="13"/>
      <c r="B14" s="14"/>
      <c r="C14" s="14"/>
      <c r="D14" s="13"/>
      <c r="E14" s="13"/>
      <c r="F14" s="13"/>
      <c r="G14" s="13"/>
      <c r="H14" s="13"/>
      <c r="I14" s="16" t="str">
        <f aca="false">IF(F13&gt;0,(F13-G13-H13)/F13,"")</f>
        <v/>
      </c>
      <c r="J14" s="17" t="str">
        <f aca="false">IF(F13&gt;0,F13/(F13-G13-H13),"")</f>
        <v/>
      </c>
      <c r="K14" s="16" t="str">
        <f aca="false">IF(F13&gt;0,(F13-G13-H13)*0.82/F13,"")</f>
        <v/>
      </c>
      <c r="L14" s="13"/>
      <c r="M14" s="13"/>
      <c r="N14" s="13"/>
      <c r="O14" s="13"/>
      <c r="P14" s="13"/>
      <c r="Q14" s="13"/>
      <c r="R14" s="13"/>
      <c r="S14" s="14"/>
      <c r="T14" s="14"/>
      <c r="U14" s="14"/>
      <c r="V14" s="14"/>
    </row>
    <row r="15" customFormat="false" ht="27.75" hidden="false" customHeight="true" outlineLevel="0" collapsed="false">
      <c r="A15" s="8"/>
      <c r="B15" s="9"/>
      <c r="C15" s="9"/>
      <c r="D15" s="8"/>
      <c r="E15" s="8"/>
      <c r="F15" s="8"/>
      <c r="G15" s="8"/>
      <c r="H15" s="8"/>
      <c r="I15" s="11" t="str">
        <f aca="false">IF(F14&gt;0,(F14-G14-H14)/F14,"")</f>
        <v/>
      </c>
      <c r="J15" s="12" t="str">
        <f aca="false">IF(F14&gt;0,F14/(F14-G14-H14),"")</f>
        <v/>
      </c>
      <c r="K15" s="11" t="str">
        <f aca="false">IF(F14&gt;0,(F14-G14-H14)*0.82/F14,"")</f>
        <v/>
      </c>
      <c r="L15" s="8"/>
      <c r="M15" s="8"/>
      <c r="N15" s="8"/>
      <c r="O15" s="8"/>
      <c r="P15" s="8"/>
      <c r="Q15" s="8"/>
      <c r="R15" s="8"/>
      <c r="S15" s="9"/>
      <c r="T15" s="9"/>
      <c r="U15" s="9"/>
      <c r="V15" s="9"/>
    </row>
    <row r="16" customFormat="false" ht="27.75" hidden="false" customHeight="true" outlineLevel="0" collapsed="false">
      <c r="A16" s="13"/>
      <c r="B16" s="14"/>
      <c r="C16" s="14"/>
      <c r="D16" s="13"/>
      <c r="E16" s="13"/>
      <c r="F16" s="13"/>
      <c r="G16" s="13"/>
      <c r="H16" s="13"/>
      <c r="I16" s="16" t="str">
        <f aca="false">IF(F15&gt;0,(F15-G15-H15)/F15,"")</f>
        <v/>
      </c>
      <c r="J16" s="17" t="str">
        <f aca="false">IF(F15&gt;0,F15/(F15-G15-H15),"")</f>
        <v/>
      </c>
      <c r="K16" s="16" t="str">
        <f aca="false">IF(F15&gt;0,(F15-G15-H15)*0.82/F15,"")</f>
        <v/>
      </c>
      <c r="L16" s="13"/>
      <c r="M16" s="13"/>
      <c r="N16" s="13"/>
      <c r="O16" s="13"/>
      <c r="P16" s="13"/>
      <c r="Q16" s="13"/>
      <c r="R16" s="13"/>
      <c r="S16" s="14"/>
      <c r="T16" s="14"/>
      <c r="U16" s="14"/>
      <c r="V16" s="14"/>
    </row>
    <row r="17" customFormat="false" ht="27.75" hidden="false" customHeight="true" outlineLevel="0" collapsed="false">
      <c r="A17" s="8"/>
      <c r="B17" s="9"/>
      <c r="C17" s="9"/>
      <c r="D17" s="8"/>
      <c r="E17" s="8"/>
      <c r="F17" s="8"/>
      <c r="G17" s="8"/>
      <c r="H17" s="8"/>
      <c r="I17" s="11" t="str">
        <f aca="false">IF(F16&gt;0,(F16-G16-H16)/F16,"")</f>
        <v/>
      </c>
      <c r="J17" s="12" t="str">
        <f aca="false">IF(F16&gt;0,F16/(F16-G16-H16),"")</f>
        <v/>
      </c>
      <c r="K17" s="11" t="str">
        <f aca="false">IF(F16&gt;0,(F16-G16-H16)*0.82/F16,"")</f>
        <v/>
      </c>
      <c r="L17" s="8"/>
      <c r="M17" s="8"/>
      <c r="N17" s="8"/>
      <c r="O17" s="8"/>
      <c r="P17" s="8"/>
      <c r="Q17" s="8"/>
      <c r="R17" s="8"/>
      <c r="S17" s="9"/>
      <c r="T17" s="9"/>
      <c r="U17" s="9"/>
      <c r="V17" s="9"/>
    </row>
    <row r="18" customFormat="false" ht="27.75" hidden="false" customHeight="true" outlineLevel="0" collapsed="false">
      <c r="A18" s="13"/>
      <c r="B18" s="14"/>
      <c r="C18" s="14"/>
      <c r="D18" s="13"/>
      <c r="E18" s="13"/>
      <c r="F18" s="13"/>
      <c r="G18" s="13"/>
      <c r="H18" s="13"/>
      <c r="I18" s="16" t="str">
        <f aca="false">IF(F17&gt;0,(F17-G17-H17)/F17,"")</f>
        <v/>
      </c>
      <c r="J18" s="17" t="str">
        <f aca="false">IF(F17&gt;0,F17/(F17-G17-H17),"")</f>
        <v/>
      </c>
      <c r="K18" s="16" t="str">
        <f aca="false">IF(F17&gt;0,(F17-G17-H17)*0.82/F17,"")</f>
        <v/>
      </c>
      <c r="L18" s="13"/>
      <c r="M18" s="13"/>
      <c r="N18" s="13"/>
      <c r="O18" s="13"/>
      <c r="P18" s="13"/>
      <c r="Q18" s="13"/>
      <c r="R18" s="13"/>
      <c r="S18" s="14"/>
      <c r="T18" s="14"/>
      <c r="U18" s="14"/>
      <c r="V18" s="14"/>
    </row>
    <row r="19" customFormat="false" ht="27.75" hidden="false" customHeight="true" outlineLevel="0" collapsed="false">
      <c r="A19" s="8"/>
      <c r="B19" s="9"/>
      <c r="C19" s="9"/>
      <c r="D19" s="8"/>
      <c r="E19" s="8"/>
      <c r="F19" s="8"/>
      <c r="G19" s="8"/>
      <c r="H19" s="8"/>
      <c r="I19" s="11" t="str">
        <f aca="false">IF(F18&gt;0,(F18-G18-H18)/F18,"")</f>
        <v/>
      </c>
      <c r="J19" s="12" t="str">
        <f aca="false">IF(F18&gt;0,F18/(F18-G18-H18),"")</f>
        <v/>
      </c>
      <c r="K19" s="11" t="str">
        <f aca="false">IF(F18&gt;0,(F18-G18-H18)*0.82/F18,"")</f>
        <v/>
      </c>
      <c r="L19" s="8"/>
      <c r="M19" s="8"/>
      <c r="N19" s="8"/>
      <c r="O19" s="8"/>
      <c r="P19" s="8"/>
      <c r="Q19" s="8"/>
      <c r="R19" s="8"/>
      <c r="S19" s="9"/>
      <c r="T19" s="9"/>
      <c r="U19" s="9"/>
      <c r="V19" s="9"/>
    </row>
    <row r="20" customFormat="false" ht="27.75" hidden="false" customHeight="true" outlineLevel="0" collapsed="false">
      <c r="A20" s="13"/>
      <c r="B20" s="14"/>
      <c r="C20" s="14"/>
      <c r="D20" s="13"/>
      <c r="E20" s="13"/>
      <c r="F20" s="13"/>
      <c r="G20" s="13"/>
      <c r="H20" s="13"/>
      <c r="I20" s="16" t="str">
        <f aca="false">IF(F19&gt;0,(F19-G19-H19)/F19,"")</f>
        <v/>
      </c>
      <c r="J20" s="17" t="str">
        <f aca="false">IF(F19&gt;0,F19/(F19-G19-H19),"")</f>
        <v/>
      </c>
      <c r="K20" s="16" t="str">
        <f aca="false">IF(F19&gt;0,(F19-G19-H19)*0.82/F19,"")</f>
        <v/>
      </c>
      <c r="L20" s="13"/>
      <c r="M20" s="13"/>
      <c r="N20" s="13"/>
      <c r="O20" s="13"/>
      <c r="P20" s="13"/>
      <c r="Q20" s="13"/>
      <c r="R20" s="13"/>
      <c r="S20" s="14"/>
      <c r="T20" s="14"/>
      <c r="U20" s="14"/>
      <c r="V20" s="14"/>
    </row>
    <row r="21" customFormat="false" ht="27.75" hidden="false" customHeight="true" outlineLevel="0" collapsed="false">
      <c r="A21" s="8"/>
      <c r="B21" s="9"/>
      <c r="C21" s="9"/>
      <c r="D21" s="8"/>
      <c r="E21" s="8"/>
      <c r="F21" s="8"/>
      <c r="G21" s="8"/>
      <c r="H21" s="8"/>
      <c r="I21" s="11" t="str">
        <f aca="false">IF(F20&gt;0,(F20-G20-H20)/F20,"")</f>
        <v/>
      </c>
      <c r="J21" s="12" t="str">
        <f aca="false">IF(F20&gt;0,F20/(F20-G20-H20),"")</f>
        <v/>
      </c>
      <c r="K21" s="11" t="str">
        <f aca="false">IF(F20&gt;0,(F20-G20-H20)*0.82/F20,"")</f>
        <v/>
      </c>
      <c r="L21" s="8"/>
      <c r="M21" s="8"/>
      <c r="N21" s="8"/>
      <c r="O21" s="8"/>
      <c r="P21" s="8"/>
      <c r="Q21" s="8"/>
      <c r="R21" s="8"/>
      <c r="S21" s="9"/>
      <c r="T21" s="9"/>
      <c r="U21" s="9"/>
      <c r="V21" s="9"/>
    </row>
    <row r="22" customFormat="false" ht="27.75" hidden="false" customHeight="true" outlineLevel="0" collapsed="false">
      <c r="A22" s="13"/>
      <c r="B22" s="14"/>
      <c r="C22" s="14"/>
      <c r="D22" s="13"/>
      <c r="E22" s="13"/>
      <c r="F22" s="13"/>
      <c r="G22" s="13"/>
      <c r="H22" s="13"/>
      <c r="I22" s="16" t="str">
        <f aca="false">IF(F21&gt;0,(F21-G21-H21)/F21,"")</f>
        <v/>
      </c>
      <c r="J22" s="17" t="str">
        <f aca="false">IF(F21&gt;0,F21/(F21-G21-H21),"")</f>
        <v/>
      </c>
      <c r="K22" s="16" t="str">
        <f aca="false">IF(F21&gt;0,(F21-G21-H21)*0.82/F21,"")</f>
        <v/>
      </c>
      <c r="L22" s="13"/>
      <c r="M22" s="13"/>
      <c r="N22" s="13"/>
      <c r="O22" s="13"/>
      <c r="P22" s="13"/>
      <c r="Q22" s="13"/>
      <c r="R22" s="13"/>
      <c r="S22" s="14"/>
      <c r="T22" s="14"/>
      <c r="U22" s="14"/>
      <c r="V22" s="14"/>
    </row>
    <row r="23" customFormat="false" ht="27.75" hidden="false" customHeight="true" outlineLevel="0" collapsed="false">
      <c r="A23" s="8"/>
      <c r="B23" s="9"/>
      <c r="C23" s="9"/>
      <c r="D23" s="8"/>
      <c r="E23" s="8"/>
      <c r="F23" s="8"/>
      <c r="G23" s="8"/>
      <c r="H23" s="8"/>
      <c r="I23" s="11" t="str">
        <f aca="false">IF(F22&gt;0,(F22-G22-H22)/F22,"")</f>
        <v/>
      </c>
      <c r="J23" s="12" t="str">
        <f aca="false">IF(F22&gt;0,F22/(F22-G22-H22),"")</f>
        <v/>
      </c>
      <c r="K23" s="11" t="str">
        <f aca="false">IF(F22&gt;0,(F22-G22-H22)*0.82/F22,"")</f>
        <v/>
      </c>
      <c r="L23" s="8"/>
      <c r="M23" s="8"/>
      <c r="N23" s="8"/>
      <c r="O23" s="8"/>
      <c r="P23" s="8"/>
      <c r="Q23" s="8"/>
      <c r="R23" s="8"/>
      <c r="S23" s="9"/>
      <c r="T23" s="9"/>
      <c r="U23" s="9"/>
      <c r="V23" s="9"/>
    </row>
    <row r="24" customFormat="false" ht="27.75" hidden="false" customHeight="true" outlineLevel="0" collapsed="false">
      <c r="A24" s="13"/>
      <c r="B24" s="14"/>
      <c r="C24" s="14"/>
      <c r="D24" s="13"/>
      <c r="E24" s="13"/>
      <c r="F24" s="13"/>
      <c r="G24" s="13"/>
      <c r="H24" s="13"/>
      <c r="I24" s="16" t="str">
        <f aca="false">IF(F23&gt;0,(F23-G23-H23)/F23,"")</f>
        <v/>
      </c>
      <c r="J24" s="17" t="str">
        <f aca="false">IF(F23&gt;0,F23/(F23-G23-H23),"")</f>
        <v/>
      </c>
      <c r="K24" s="16" t="str">
        <f aca="false">IF(F23&gt;0,(F23-G23-H23)*0.82/F23,"")</f>
        <v/>
      </c>
      <c r="L24" s="13"/>
      <c r="M24" s="13"/>
      <c r="N24" s="13"/>
      <c r="O24" s="13"/>
      <c r="P24" s="13"/>
      <c r="Q24" s="13"/>
      <c r="R24" s="13"/>
      <c r="S24" s="14"/>
      <c r="T24" s="14"/>
      <c r="U24" s="14"/>
      <c r="V24" s="14"/>
    </row>
    <row r="25" customFormat="false" ht="27.75" hidden="false" customHeight="true" outlineLevel="0" collapsed="false">
      <c r="A25" s="8"/>
      <c r="B25" s="9"/>
      <c r="C25" s="9"/>
      <c r="D25" s="8"/>
      <c r="E25" s="8"/>
      <c r="F25" s="8"/>
      <c r="G25" s="8"/>
      <c r="H25" s="8"/>
      <c r="I25" s="11" t="str">
        <f aca="false">IF(F24&gt;0,(F24-G24-H24)/F24,"")</f>
        <v/>
      </c>
      <c r="J25" s="12" t="str">
        <f aca="false">IF(F24&gt;0,F24/(F24-G24-H24),"")</f>
        <v/>
      </c>
      <c r="K25" s="11" t="str">
        <f aca="false">IF(F24&gt;0,(F24-G24-H24)*0.82/F24,"")</f>
        <v/>
      </c>
      <c r="L25" s="8"/>
      <c r="M25" s="8"/>
      <c r="N25" s="8"/>
      <c r="O25" s="8"/>
      <c r="P25" s="8"/>
      <c r="Q25" s="8"/>
      <c r="R25" s="8"/>
      <c r="S25" s="9"/>
      <c r="T25" s="9"/>
      <c r="U25" s="9"/>
      <c r="V25" s="9"/>
    </row>
    <row r="26" customFormat="false" ht="14.25" hidden="false" customHeight="false" outlineLevel="0" collapsed="false">
      <c r="A26" s="13"/>
      <c r="B26" s="14"/>
      <c r="C26" s="14"/>
      <c r="D26" s="13"/>
      <c r="E26" s="13"/>
      <c r="F26" s="13"/>
      <c r="G26" s="13"/>
      <c r="H26" s="13"/>
      <c r="I26" s="16" t="str">
        <f aca="false">IF(F25&gt;0,(F25-G25-H25)/F25,"")</f>
        <v/>
      </c>
      <c r="J26" s="17" t="str">
        <f aca="false">IF(F25&gt;0,F25/(F25-G25-H25),"")</f>
        <v/>
      </c>
      <c r="K26" s="16" t="str">
        <f aca="false">IF(F25&gt;0,(F25-G25-H25)*0.82/F25,"")</f>
        <v/>
      </c>
      <c r="L26" s="13"/>
      <c r="M26" s="13"/>
      <c r="N26" s="13"/>
      <c r="O26" s="13"/>
      <c r="P26" s="13"/>
      <c r="Q26" s="13"/>
      <c r="R26" s="13"/>
      <c r="S26" s="14"/>
      <c r="T26" s="14"/>
      <c r="U26" s="14"/>
      <c r="V26" s="14"/>
    </row>
  </sheetData>
  <autoFilter ref="A2:V2"/>
  <mergeCells count="1">
    <mergeCell ref="A1:V1"/>
  </mergeCells>
  <conditionalFormatting sqref="L3:L100">
    <cfRule type="cellIs" priority="2" operator="equal" aboveAverage="0" equalAverage="0" bottom="0" percent="0" rank="0" text="" dxfId="7">
      <formula>"PASS"</formula>
    </cfRule>
    <cfRule type="cellIs" priority="3" operator="equal" aboveAverage="0" equalAverage="0" bottom="0" percent="0" rank="0" text="" dxfId="8">
      <formula>"REVIEW"</formula>
    </cfRule>
    <cfRule type="cellIs" priority="4" operator="equal" aboveAverage="0" equalAverage="0" bottom="0" percent="0" rank="0" text="" dxfId="9">
      <formula>"FAIL"</formula>
    </cfRule>
  </conditionalFormatting>
  <conditionalFormatting sqref="M3:M100">
    <cfRule type="cellIs" priority="5" operator="equal" aboveAverage="0" equalAverage="0" bottom="0" percent="0" rank="0" text="" dxfId="10">
      <formula>"PASS"</formula>
    </cfRule>
    <cfRule type="cellIs" priority="6" operator="equal" aboveAverage="0" equalAverage="0" bottom="0" percent="0" rank="0" text="" dxfId="11">
      <formula>"WARN"</formula>
    </cfRule>
    <cfRule type="cellIs" priority="7" operator="equal" aboveAverage="0" equalAverage="0" bottom="0" percent="0" rank="0" text="" dxfId="12">
      <formula>"FAIL"</formula>
    </cfRule>
  </conditionalFormatting>
  <conditionalFormatting sqref="N3:N100">
    <cfRule type="cellIs" priority="8" operator="equal" aboveAverage="0" equalAverage="0" bottom="0" percent="0" rank="0" text="" dxfId="10">
      <formula>"PASS"</formula>
    </cfRule>
    <cfRule type="cellIs" priority="9" operator="equal" aboveAverage="0" equalAverage="0" bottom="0" percent="0" rank="0" text="" dxfId="11">
      <formula>"WARN"</formula>
    </cfRule>
    <cfRule type="cellIs" priority="10" operator="equal" aboveAverage="0" equalAverage="0" bottom="0" percent="0" rank="0" text="" dxfId="12">
      <formula>"FAIL"</formula>
    </cfRule>
  </conditionalFormatting>
  <conditionalFormatting sqref="O3:O100">
    <cfRule type="cellIs" priority="11" operator="equal" aboveAverage="0" equalAverage="0" bottom="0" percent="0" rank="0" text="" dxfId="10">
      <formula>"PASS"</formula>
    </cfRule>
    <cfRule type="cellIs" priority="12" operator="equal" aboveAverage="0" equalAverage="0" bottom="0" percent="0" rank="0" text="" dxfId="11">
      <formula>"WARN"</formula>
    </cfRule>
    <cfRule type="cellIs" priority="13" operator="equal" aboveAverage="0" equalAverage="0" bottom="0" percent="0" rank="0" text="" dxfId="12">
      <formula>"FAIL"</formula>
    </cfRule>
  </conditionalFormatting>
  <conditionalFormatting sqref="P3:P100">
    <cfRule type="cellIs" priority="14" operator="equal" aboveAverage="0" equalAverage="0" bottom="0" percent="0" rank="0" text="" dxfId="10">
      <formula>"PASS"</formula>
    </cfRule>
    <cfRule type="cellIs" priority="15" operator="equal" aboveAverage="0" equalAverage="0" bottom="0" percent="0" rank="0" text="" dxfId="11">
      <formula>"WARN"</formula>
    </cfRule>
    <cfRule type="cellIs" priority="16" operator="equal" aboveAverage="0" equalAverage="0" bottom="0" percent="0" rank="0" text="" dxfId="12">
      <formula>"FAIL"</formula>
    </cfRule>
  </conditionalFormatting>
  <conditionalFormatting sqref="Q3:Q100">
    <cfRule type="cellIs" priority="17" operator="equal" aboveAverage="0" equalAverage="0" bottom="0" percent="0" rank="0" text="" dxfId="10">
      <formula>"PASS"</formula>
    </cfRule>
    <cfRule type="cellIs" priority="18" operator="equal" aboveAverage="0" equalAverage="0" bottom="0" percent="0" rank="0" text="" dxfId="11">
      <formula>"WARN"</formula>
    </cfRule>
    <cfRule type="cellIs" priority="19" operator="equal" aboveAverage="0" equalAverage="0" bottom="0" percent="0" rank="0" text="" dxfId="12">
      <formula>"FAIL"</formula>
    </cfRule>
  </conditionalFormatting>
  <conditionalFormatting sqref="R3:R100">
    <cfRule type="cellIs" priority="20" operator="equal" aboveAverage="0" equalAverage="0" bottom="0" percent="0" rank="0" text="" dxfId="10">
      <formula>"PASS"</formula>
    </cfRule>
    <cfRule type="cellIs" priority="21" operator="equal" aboveAverage="0" equalAverage="0" bottom="0" percent="0" rank="0" text="" dxfId="11">
      <formula>"WARN"</formula>
    </cfRule>
    <cfRule type="cellIs" priority="22" operator="equal" aboveAverage="0" equalAverage="0" bottom="0" percent="0" rank="0" text="" dxfId="12">
      <formula>"FAIL"</formula>
    </cfRule>
  </conditionalFormatting>
  <conditionalFormatting sqref="I3:I100">
    <cfRule type="colorScale" priority="23">
      <colorScale>
        <cfvo type="num" val="0.3"/>
        <cfvo type="num" val="0.65"/>
        <cfvo type="num" val="0.8"/>
        <color rgb="FFFFCDD2"/>
        <color rgb="FFFFF9C4"/>
        <color rgb="FFC8E6C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16"/>
    <col collapsed="false" customWidth="true" hidden="false" outlineLevel="0" max="7" min="7" style="0" width="3"/>
    <col collapsed="false" customWidth="true" hidden="false" outlineLevel="0" max="8" min="8" style="0" width="16"/>
    <col collapsed="false" customWidth="true" hidden="false" outlineLevel="0" max="9" min="9" style="0" width="3"/>
  </cols>
  <sheetData>
    <row r="1" customFormat="false" ht="31.5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</row>
    <row r="3" customFormat="false" ht="19.5" hidden="false" customHeight="true" outlineLevel="0" collapsed="false">
      <c r="B3" s="26" t="s">
        <v>76</v>
      </c>
      <c r="D3" s="27" t="s">
        <v>28</v>
      </c>
      <c r="F3" s="28" t="s">
        <v>37</v>
      </c>
      <c r="H3" s="29" t="s">
        <v>38</v>
      </c>
    </row>
    <row r="4" customFormat="false" ht="39.75" hidden="false" customHeight="true" outlineLevel="0" collapsed="false">
      <c r="B4" s="30" t="n">
        <f aca="false">COUNTA('Research Log'!B3:B1000)</f>
        <v>8</v>
      </c>
      <c r="D4" s="31" t="n">
        <f aca="false">COUNTIF('Research Log'!L3:L1000,"PASS")</f>
        <v>2</v>
      </c>
      <c r="F4" s="32" t="n">
        <f aca="false">COUNTIF('Research Log'!L3:L1000,"REVIEW")</f>
        <v>3</v>
      </c>
      <c r="H4" s="33" t="n">
        <f aca="false">COUNTIF('Research Log'!L3:L1000,"FAIL")</f>
        <v>2</v>
      </c>
    </row>
    <row r="6" customFormat="false" ht="24" hidden="false" customHeight="true" outlineLevel="0" collapsed="false">
      <c r="B6" s="34" t="s">
        <v>77</v>
      </c>
      <c r="C6" s="34"/>
      <c r="D6" s="34"/>
      <c r="E6" s="34"/>
      <c r="F6" s="34"/>
      <c r="G6" s="34"/>
      <c r="H6" s="34"/>
    </row>
    <row r="7" customFormat="false" ht="25.5" hidden="false" customHeight="true" outlineLevel="0" collapsed="false">
      <c r="B7" s="35" t="s">
        <v>78</v>
      </c>
      <c r="C7" s="35"/>
      <c r="D7" s="36" t="n">
        <f aca="false">AVERAGEIF('Research Log'!L3:L1000,"PASS",'Research Log'!I3:I1000)</f>
        <v>0.696153846153846</v>
      </c>
      <c r="E7" s="36"/>
      <c r="F7" s="36"/>
      <c r="G7" s="36"/>
      <c r="H7" s="36"/>
    </row>
    <row r="8" customFormat="false" ht="25.5" hidden="false" customHeight="true" outlineLevel="0" collapsed="false">
      <c r="B8" s="35" t="s">
        <v>79</v>
      </c>
      <c r="C8" s="35"/>
      <c r="D8" s="37" t="n">
        <f aca="false">AVERAGE('Research Log'!J3:J1000)</f>
        <v>1.55615927282594</v>
      </c>
      <c r="E8" s="37"/>
      <c r="F8" s="37"/>
      <c r="G8" s="37"/>
      <c r="H8" s="37"/>
    </row>
    <row r="9" customFormat="false" ht="25.5" hidden="false" customHeight="true" outlineLevel="0" collapsed="false">
      <c r="B9" s="35" t="s">
        <v>80</v>
      </c>
      <c r="C9" s="35"/>
      <c r="D9" s="36" t="n">
        <f aca="false">AVERAGE('Research Log'!K3:K1000)</f>
        <v>0.530725770610828</v>
      </c>
      <c r="E9" s="36"/>
      <c r="F9" s="36"/>
      <c r="G9" s="36"/>
      <c r="H9" s="36"/>
    </row>
    <row r="10" customFormat="false" ht="25.5" hidden="false" customHeight="true" outlineLevel="0" collapsed="false">
      <c r="B10" s="35" t="s">
        <v>81</v>
      </c>
      <c r="C10" s="35"/>
      <c r="D10" s="38" t="n">
        <f aca="false">IF(COUNTA('Research Log'!B3:B1000)&gt;0,COUNTIF('Research Log'!L3:L1000,"PASS")/COUNTA('Research Log'!B3:B1000),"")</f>
        <v>0.25</v>
      </c>
      <c r="E10" s="38"/>
      <c r="F10" s="38"/>
      <c r="G10" s="38"/>
      <c r="H10" s="38"/>
    </row>
    <row r="12" customFormat="false" ht="21.75" hidden="false" customHeight="true" outlineLevel="0" collapsed="false">
      <c r="B12" s="39" t="s">
        <v>82</v>
      </c>
      <c r="C12" s="39"/>
      <c r="D12" s="39"/>
      <c r="E12" s="39"/>
      <c r="F12" s="39"/>
      <c r="G12" s="39"/>
      <c r="H12" s="39"/>
    </row>
    <row r="13" customFormat="false" ht="18" hidden="false" customHeight="true" outlineLevel="0" collapsed="false">
      <c r="B13" s="40" t="s">
        <v>1</v>
      </c>
      <c r="C13" s="40" t="s">
        <v>83</v>
      </c>
      <c r="D13" s="40" t="s">
        <v>4</v>
      </c>
      <c r="E13" s="40" t="s">
        <v>84</v>
      </c>
      <c r="F13" s="40" t="s">
        <v>85</v>
      </c>
      <c r="G13" s="40" t="s">
        <v>10</v>
      </c>
      <c r="H13" s="40" t="s">
        <v>86</v>
      </c>
    </row>
    <row r="14" customFormat="false" ht="21.75" hidden="false" customHeight="true" outlineLevel="0" collapsed="false">
      <c r="B14" s="41" t="str">
        <f aca="false">'Research Log'!A3</f>
        <v>2026-04-06</v>
      </c>
      <c r="C14" s="41" t="str">
        <f aca="false">'Research Log'!B3</f>
        <v>Portable Neck Massager</v>
      </c>
      <c r="D14" s="41" t="str">
        <f aca="false">'Research Log'!D3</f>
        <v>AliExpress</v>
      </c>
      <c r="E14" s="42" t="n">
        <f aca="false">'Research Log'!F3</f>
        <v>39</v>
      </c>
      <c r="F14" s="43" t="n">
        <f aca="false">'Research Log'!I3</f>
        <v>0.692307692307692</v>
      </c>
      <c r="G14" s="44" t="n">
        <f aca="false">'Research Log'!J3</f>
        <v>1.44444444444444</v>
      </c>
      <c r="H14" s="41" t="str">
        <f aca="false">'Research Log'!L3</f>
        <v>PASS</v>
      </c>
    </row>
    <row r="15" customFormat="false" ht="21.75" hidden="false" customHeight="true" outlineLevel="0" collapsed="false">
      <c r="B15" s="45" t="str">
        <f aca="false">'Research Log'!A4</f>
        <v>2026-04-06</v>
      </c>
      <c r="C15" s="45" t="str">
        <f aca="false">'Research Log'!B4</f>
        <v>LED Eyelash Curler</v>
      </c>
      <c r="D15" s="45" t="str">
        <f aca="false">'Research Log'!D4</f>
        <v>TikTok Shop</v>
      </c>
      <c r="E15" s="46" t="n">
        <f aca="false">'Research Log'!F4</f>
        <v>24</v>
      </c>
      <c r="F15" s="47" t="n">
        <f aca="false">'Research Log'!I4</f>
        <v>0.666666666666667</v>
      </c>
      <c r="G15" s="48" t="n">
        <f aca="false">'Research Log'!J4</f>
        <v>1.5</v>
      </c>
      <c r="H15" s="45" t="str">
        <f aca="false">'Research Log'!L4</f>
        <v>REVIEW</v>
      </c>
    </row>
    <row r="16" customFormat="false" ht="21.75" hidden="false" customHeight="true" outlineLevel="0" collapsed="false">
      <c r="B16" s="41" t="str">
        <f aca="false">'Research Log'!A5</f>
        <v>2026-04-07</v>
      </c>
      <c r="C16" s="41" t="str">
        <f aca="false">'Research Log'!B5</f>
        <v>Dog Calming Spray</v>
      </c>
      <c r="D16" s="41" t="str">
        <f aca="false">'Research Log'!D5</f>
        <v>Shopify</v>
      </c>
      <c r="E16" s="42" t="n">
        <f aca="false">'Research Log'!F5</f>
        <v>29</v>
      </c>
      <c r="F16" s="43" t="n">
        <f aca="false">'Research Log'!I5</f>
        <v>0.672413793103448</v>
      </c>
      <c r="G16" s="44" t="n">
        <f aca="false">'Research Log'!J5</f>
        <v>1.48717948717949</v>
      </c>
      <c r="H16" s="41" t="str">
        <f aca="false">'Research Log'!L5</f>
        <v>FAIL</v>
      </c>
    </row>
    <row r="17" customFormat="false" ht="21.75" hidden="false" customHeight="true" outlineLevel="0" collapsed="false">
      <c r="B17" s="45" t="str">
        <f aca="false">'Research Log'!A6</f>
        <v>2026-04-10</v>
      </c>
      <c r="C17" s="45" t="str">
        <f aca="false">'Research Log'!B6</f>
        <v>Snuffle Mat (Enrichment)</v>
      </c>
      <c r="D17" s="45" t="str">
        <f aca="false">'Research Log'!D6</f>
        <v>Amazon UK</v>
      </c>
      <c r="E17" s="45" t="n">
        <f aca="false">'Research Log'!F6</f>
        <v>18</v>
      </c>
      <c r="F17" s="47" t="n">
        <f aca="false">'Research Log'!I6</f>
        <v>0.555555555555556</v>
      </c>
      <c r="G17" s="48" t="n">
        <f aca="false">'Research Log'!J6</f>
        <v>1.8</v>
      </c>
      <c r="H17" s="45" t="str">
        <f aca="false">'Research Log'!L6</f>
        <v>FAIL</v>
      </c>
    </row>
    <row r="18" customFormat="false" ht="21.75" hidden="false" customHeight="true" outlineLevel="0" collapsed="false">
      <c r="B18" s="41" t="str">
        <f aca="false">'Research Log'!A7</f>
        <v>2026-04-10</v>
      </c>
      <c r="C18" s="41" t="str">
        <f aca="false">'Research Log'!B7</f>
        <v>Premium Lick Mat (Suction Cup Silicone) — Single Unit</v>
      </c>
      <c r="D18" s="41" t="str">
        <f aca="false">'Research Log'!D7</f>
        <v>AliExpress</v>
      </c>
      <c r="E18" s="41" t="n">
        <f aca="false">'Research Log'!F7</f>
        <v>20</v>
      </c>
      <c r="F18" s="43" t="n">
        <f aca="false">'Research Log'!I7</f>
        <v>0.6</v>
      </c>
      <c r="G18" s="44" t="n">
        <f aca="false">'Research Log'!J7</f>
        <v>1.66666666666667</v>
      </c>
      <c r="H18" s="41" t="str">
        <f aca="false">'Research Log'!L7</f>
        <v>WARN</v>
      </c>
    </row>
  </sheetData>
  <mergeCells count="11">
    <mergeCell ref="A1:H1"/>
    <mergeCell ref="B6:H6"/>
    <mergeCell ref="B7:C7"/>
    <mergeCell ref="D7:H7"/>
    <mergeCell ref="B8:C8"/>
    <mergeCell ref="D8:H8"/>
    <mergeCell ref="B9:C9"/>
    <mergeCell ref="D9:H9"/>
    <mergeCell ref="B10:C10"/>
    <mergeCell ref="D10:H10"/>
    <mergeCell ref="B12:H12"/>
  </mergeCells>
  <conditionalFormatting sqref="H14:H18">
    <cfRule type="cellIs" priority="2" operator="equal" aboveAverage="0" equalAverage="0" bottom="0" percent="0" rank="0" text="" dxfId="13">
      <formula>"PASS"</formula>
    </cfRule>
    <cfRule type="cellIs" priority="3" operator="equal" aboveAverage="0" equalAverage="0" bottom="0" percent="0" rank="0" text="" dxfId="14">
      <formula>"REVIEW"</formula>
    </cfRule>
    <cfRule type="cellIs" priority="4" operator="equal" aboveAverage="0" equalAverage="0" bottom="0" percent="0" rank="0" text="" dxfId="15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4" min="4" style="0" width="28"/>
    <col collapsed="false" customWidth="true" hidden="false" outlineLevel="0" max="5" min="5" style="0" width="22"/>
  </cols>
  <sheetData>
    <row r="1" customFormat="false" ht="30" hidden="false" customHeight="true" outlineLevel="0" collapsed="false">
      <c r="A1" s="49" t="s">
        <v>87</v>
      </c>
      <c r="B1" s="49"/>
      <c r="C1" s="49"/>
      <c r="D1" s="49"/>
      <c r="E1" s="49"/>
    </row>
    <row r="3" customFormat="false" ht="21.75" hidden="false" customHeight="true" outlineLevel="0" collapsed="false">
      <c r="A3" s="50" t="s">
        <v>88</v>
      </c>
      <c r="B3" s="51" t="s">
        <v>89</v>
      </c>
      <c r="D3" s="52" t="s">
        <v>90</v>
      </c>
      <c r="E3" s="53" t="s">
        <v>91</v>
      </c>
    </row>
    <row r="4" customFormat="false" ht="24" hidden="false" customHeight="true" outlineLevel="0" collapsed="false">
      <c r="A4" s="54" t="s">
        <v>92</v>
      </c>
      <c r="B4" s="55" t="n">
        <v>20</v>
      </c>
      <c r="D4" s="54" t="s">
        <v>93</v>
      </c>
      <c r="E4" s="56" t="n">
        <f aca="false">B4-B5-B6</f>
        <v>12</v>
      </c>
    </row>
    <row r="5" customFormat="false" ht="24" hidden="false" customHeight="true" outlineLevel="0" collapsed="false">
      <c r="A5" s="54" t="s">
        <v>94</v>
      </c>
      <c r="B5" s="55" t="n">
        <v>2.5</v>
      </c>
      <c r="D5" s="54" t="s">
        <v>9</v>
      </c>
      <c r="E5" s="57" t="n">
        <f aca="false">(B4-B5-B6)/B4</f>
        <v>0.6</v>
      </c>
    </row>
    <row r="6" customFormat="false" ht="24" hidden="false" customHeight="true" outlineLevel="0" collapsed="false">
      <c r="A6" s="54" t="s">
        <v>95</v>
      </c>
      <c r="B6" s="55" t="n">
        <v>5.5</v>
      </c>
      <c r="D6" s="54" t="s">
        <v>96</v>
      </c>
      <c r="E6" s="58" t="n">
        <f aca="false">B4/(B4-B5-B6)</f>
        <v>1.66666666666667</v>
      </c>
    </row>
    <row r="7" customFormat="false" ht="24" hidden="false" customHeight="true" outlineLevel="0" collapsed="false">
      <c r="A7" s="54" t="s">
        <v>97</v>
      </c>
      <c r="B7" s="59" t="n">
        <v>0.06</v>
      </c>
      <c r="D7" s="54" t="s">
        <v>98</v>
      </c>
      <c r="E7" s="56" t="n">
        <f aca="false">B4-B5-B6-(B4*B7)-(B4*B8)-B9</f>
        <v>10.2</v>
      </c>
    </row>
    <row r="8" customFormat="false" ht="24" hidden="false" customHeight="true" outlineLevel="0" collapsed="false">
      <c r="A8" s="54" t="s">
        <v>99</v>
      </c>
      <c r="B8" s="59" t="n">
        <v>0.03</v>
      </c>
      <c r="D8" s="54" t="s">
        <v>100</v>
      </c>
      <c r="E8" s="57" t="n">
        <f aca="false">(B4-B5-B6-(B4*B7)-(B4*B8)-B9)/B4</f>
        <v>0.51</v>
      </c>
    </row>
    <row r="9" customFormat="false" ht="24" hidden="false" customHeight="true" outlineLevel="0" collapsed="false">
      <c r="A9" s="54" t="s">
        <v>101</v>
      </c>
      <c r="B9" s="55" t="n">
        <v>0</v>
      </c>
      <c r="D9" s="54" t="s">
        <v>102</v>
      </c>
      <c r="E9" s="58" t="n">
        <f aca="false">IF(B4&gt;0,B4/((B4*0.2)+B5+B6+(B4*B7)+(B4*B8)),"")</f>
        <v>1.44927536231884</v>
      </c>
    </row>
    <row r="11" customFormat="false" ht="21.75" hidden="false" customHeight="true" outlineLevel="0" collapsed="false">
      <c r="A11" s="60" t="s">
        <v>103</v>
      </c>
    </row>
    <row r="12" customFormat="false" ht="21.75" hidden="false" customHeight="true" outlineLevel="0" collapsed="false">
      <c r="A12" s="54" t="s">
        <v>85</v>
      </c>
      <c r="B12" s="61" t="s">
        <v>104</v>
      </c>
      <c r="C12" s="62" t="s">
        <v>105</v>
      </c>
      <c r="D12" s="62"/>
      <c r="E12" s="62"/>
    </row>
    <row r="13" customFormat="false" ht="21.75" hidden="false" customHeight="true" outlineLevel="0" collapsed="false">
      <c r="A13" s="54" t="s">
        <v>96</v>
      </c>
      <c r="B13" s="61" t="s">
        <v>106</v>
      </c>
      <c r="C13" s="62" t="s">
        <v>107</v>
      </c>
      <c r="D13" s="62"/>
      <c r="E13" s="62"/>
    </row>
    <row r="14" customFormat="false" ht="21.75" hidden="false" customHeight="true" outlineLevel="0" collapsed="false">
      <c r="A14" s="54" t="s">
        <v>108</v>
      </c>
      <c r="B14" s="61" t="s">
        <v>109</v>
      </c>
      <c r="C14" s="62" t="s">
        <v>110</v>
      </c>
      <c r="D14" s="62"/>
      <c r="E14" s="62"/>
    </row>
    <row r="15" customFormat="false" ht="21.75" hidden="false" customHeight="true" outlineLevel="0" collapsed="false">
      <c r="A15" s="54" t="s">
        <v>111</v>
      </c>
      <c r="B15" s="61" t="s">
        <v>112</v>
      </c>
      <c r="C15" s="62" t="s">
        <v>113</v>
      </c>
      <c r="D15" s="62"/>
      <c r="E15" s="62"/>
    </row>
    <row r="16" customFormat="false" ht="14.25" hidden="false" customHeight="false" outlineLevel="0" collapsed="false">
      <c r="A16" s="63" t="s">
        <v>114</v>
      </c>
    </row>
    <row r="17" customFormat="false" ht="14.25" hidden="false" customHeight="false" outlineLevel="0" collapsed="false">
      <c r="A17" s="64" t="s">
        <v>115</v>
      </c>
      <c r="B17" s="64" t="s">
        <v>89</v>
      </c>
      <c r="D17" s="64" t="s">
        <v>116</v>
      </c>
      <c r="E17" s="64" t="s">
        <v>91</v>
      </c>
    </row>
    <row r="18" customFormat="false" ht="14.25" hidden="false" customHeight="false" outlineLevel="0" collapsed="false">
      <c r="A18" s="0" t="s">
        <v>117</v>
      </c>
      <c r="B18" s="0" t="n">
        <v>35</v>
      </c>
      <c r="D18" s="0" t="s">
        <v>118</v>
      </c>
      <c r="E18" s="0" t="n">
        <f aca="false">B18-B19-B20</f>
        <v>24.5</v>
      </c>
    </row>
    <row r="19" customFormat="false" ht="14.25" hidden="false" customHeight="false" outlineLevel="0" collapsed="false">
      <c r="A19" s="0" t="s">
        <v>119</v>
      </c>
      <c r="B19" s="0" t="n">
        <v>5</v>
      </c>
      <c r="D19" s="0" t="s">
        <v>9</v>
      </c>
      <c r="E19" s="0" t="n">
        <f aca="false">(B18-B19-B20)/B18</f>
        <v>0.7</v>
      </c>
    </row>
    <row r="20" customFormat="false" ht="14.25" hidden="false" customHeight="false" outlineLevel="0" collapsed="false">
      <c r="A20" s="0" t="s">
        <v>120</v>
      </c>
      <c r="B20" s="0" t="n">
        <v>5.5</v>
      </c>
      <c r="D20" s="0" t="s">
        <v>96</v>
      </c>
      <c r="E20" s="0" t="n">
        <f aca="false">B18/(B18-B19-B20)</f>
        <v>1.42857142857143</v>
      </c>
    </row>
    <row r="21" customFormat="false" ht="14.25" hidden="false" customHeight="false" outlineLevel="0" collapsed="false">
      <c r="A21" s="0" t="s">
        <v>121</v>
      </c>
      <c r="B21" s="0" t="n">
        <f aca="false">B18-B19-B20</f>
        <v>24.5</v>
      </c>
      <c r="D21" s="0" t="s">
        <v>122</v>
      </c>
      <c r="E21" s="0" t="n">
        <f aca="false">(B18-B19-B20-(B18*0.06)-(B18*0.03))/B18</f>
        <v>0.61</v>
      </c>
    </row>
    <row r="23" customFormat="false" ht="14.25" hidden="false" customHeight="false" outlineLevel="0" collapsed="false">
      <c r="A23" s="63" t="s">
        <v>123</v>
      </c>
    </row>
    <row r="24" customFormat="false" ht="14.25" hidden="false" customHeight="false" outlineLevel="0" collapsed="false">
      <c r="A24" s="65" t="s">
        <v>124</v>
      </c>
      <c r="B24" s="65" t="s">
        <v>125</v>
      </c>
      <c r="C24" s="65" t="s">
        <v>126</v>
      </c>
      <c r="D24" s="65" t="s">
        <v>127</v>
      </c>
    </row>
    <row r="25" customFormat="false" ht="14.25" hidden="false" customHeight="false" outlineLevel="0" collapsed="false">
      <c r="A25" s="0" t="s">
        <v>128</v>
      </c>
      <c r="B25" s="0" t="s">
        <v>129</v>
      </c>
      <c r="C25" s="0" t="s">
        <v>130</v>
      </c>
      <c r="D25" s="0" t="s">
        <v>131</v>
      </c>
    </row>
    <row r="26" customFormat="false" ht="14.25" hidden="false" customHeight="false" outlineLevel="0" collapsed="false">
      <c r="A26" s="0" t="s">
        <v>132</v>
      </c>
      <c r="B26" s="0" t="s">
        <v>133</v>
      </c>
      <c r="C26" s="0" t="s">
        <v>134</v>
      </c>
      <c r="D26" s="0" t="s">
        <v>131</v>
      </c>
    </row>
    <row r="27" customFormat="false" ht="14.25" hidden="false" customHeight="false" outlineLevel="0" collapsed="false">
      <c r="A27" s="0" t="s">
        <v>135</v>
      </c>
      <c r="B27" s="0" t="s">
        <v>136</v>
      </c>
      <c r="C27" s="0" t="s">
        <v>137</v>
      </c>
      <c r="D27" s="0" t="s">
        <v>131</v>
      </c>
    </row>
    <row r="28" customFormat="false" ht="14.25" hidden="false" customHeight="false" outlineLevel="0" collapsed="false">
      <c r="A28" s="0" t="s">
        <v>138</v>
      </c>
      <c r="B28" s="0" t="s">
        <v>139</v>
      </c>
      <c r="C28" s="0" t="s">
        <v>140</v>
      </c>
      <c r="D28" s="0" t="s">
        <v>141</v>
      </c>
    </row>
    <row r="29" customFormat="false" ht="14.25" hidden="false" customHeight="false" outlineLevel="0" collapsed="false">
      <c r="A29" s="0" t="s">
        <v>142</v>
      </c>
      <c r="B29" s="0" t="s">
        <v>143</v>
      </c>
      <c r="C29" s="0" t="s">
        <v>144</v>
      </c>
      <c r="D29" s="0" t="s">
        <v>131</v>
      </c>
    </row>
    <row r="30" customFormat="false" ht="14.25" hidden="false" customHeight="false" outlineLevel="0" collapsed="false">
      <c r="A30" s="0" t="s">
        <v>145</v>
      </c>
      <c r="B30" s="0" t="s">
        <v>131</v>
      </c>
      <c r="C30" s="0" t="s">
        <v>146</v>
      </c>
      <c r="D30" s="66" t="s">
        <v>147</v>
      </c>
    </row>
    <row r="31" customFormat="false" ht="14.25" hidden="false" customHeight="false" outlineLevel="0" collapsed="false">
      <c r="A31" s="0" t="s">
        <v>148</v>
      </c>
      <c r="B31" s="0" t="s">
        <v>149</v>
      </c>
      <c r="C31" s="0" t="s">
        <v>131</v>
      </c>
      <c r="D31" s="0" t="s">
        <v>150</v>
      </c>
    </row>
    <row r="32" customFormat="false" ht="14.25" hidden="false" customHeight="false" outlineLevel="0" collapsed="false">
      <c r="A32" s="0" t="s">
        <v>151</v>
      </c>
      <c r="B32" s="0" t="s">
        <v>152</v>
      </c>
      <c r="C32" s="0" t="s">
        <v>153</v>
      </c>
      <c r="D32" s="66" t="s">
        <v>154</v>
      </c>
    </row>
  </sheetData>
  <mergeCells count="5">
    <mergeCell ref="A1:E1"/>
    <mergeCell ref="C12:E12"/>
    <mergeCell ref="C13:E13"/>
    <mergeCell ref="C14:E14"/>
    <mergeCell ref="C15:E15"/>
  </mergeCells>
  <conditionalFormatting sqref="E5">
    <cfRule type="cellIs" priority="2" operator="greaterThanOrEqual" aboveAverage="0" equalAverage="0" bottom="0" percent="0" rank="0" text="" dxfId="16">
      <formula>0.65</formula>
    </cfRule>
    <cfRule type="cellIs" priority="3" operator="lessThan" aboveAverage="0" equalAverage="0" bottom="0" percent="0" rank="0" text="" dxfId="17">
      <formula>0.65</formula>
    </cfRule>
  </conditionalFormatting>
  <conditionalFormatting sqref="E6">
    <cfRule type="cellIs" priority="4" operator="lessThanOrEqual" aboveAverage="0" equalAverage="0" bottom="0" percent="0" rank="0" text="" dxfId="16">
      <formula>2</formula>
    </cfRule>
    <cfRule type="cellIs" priority="5" operator="greaterThan" aboveAverage="0" equalAverage="0" bottom="0" percent="0" rank="0" text="" dxfId="17">
      <formula>2</formula>
    </cfRule>
  </conditionalFormatting>
  <conditionalFormatting sqref="E8">
    <cfRule type="cellIs" priority="6" operator="greaterThanOrEqual" aboveAverage="0" equalAverage="0" bottom="0" percent="0" rank="0" text="" dxfId="16">
      <formula>0.15</formula>
    </cfRule>
    <cfRule type="cellIs" priority="7" operator="lessThan" aboveAverage="0" equalAverage="0" bottom="0" percent="0" rank="0" text="" dxfId="18">
      <formula>0.15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2026-04-06T11:43:06Z</dcterms:created>
  <dc:creator>openpyxl</dc:creator>
  <dc:description/>
  <dc:language>en-US</dc:language>
  <cp:lastModifiedBy>lenovo</cp:lastModifiedBy>
  <dcterms:modified xsi:type="dcterms:W3CDTF">2026-04-12T09:40:19Z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